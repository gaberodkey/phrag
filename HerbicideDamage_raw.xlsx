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23rd" sheetId="1" r:id="rId4"/>
    <sheet state="visible" name="July 31st" sheetId="2" r:id="rId5"/>
    <sheet state="visible" name="CSV Export" sheetId="3" r:id="rId6"/>
  </sheets>
  <definedNames/>
  <calcPr/>
</workbook>
</file>

<file path=xl/sharedStrings.xml><?xml version="1.0" encoding="utf-8"?>
<sst xmlns="http://schemas.openxmlformats.org/spreadsheetml/2006/main" count="167" uniqueCount="48">
  <si>
    <t>Site #</t>
  </si>
  <si>
    <t>Site Name</t>
  </si>
  <si>
    <t>Treatment</t>
  </si>
  <si>
    <t>Plant # 1</t>
  </si>
  <si>
    <t># of Plants</t>
  </si>
  <si>
    <t>Average</t>
  </si>
  <si>
    <t># of resprouts</t>
  </si>
  <si>
    <t># of dead</t>
  </si>
  <si>
    <t>resprouts/total plants</t>
  </si>
  <si>
    <t>dead/total</t>
  </si>
  <si>
    <t>FL</t>
  </si>
  <si>
    <t>high</t>
  </si>
  <si>
    <t>ELJ</t>
  </si>
  <si>
    <t>MZW</t>
  </si>
  <si>
    <t>NLJ</t>
  </si>
  <si>
    <t>MLJ</t>
  </si>
  <si>
    <t>IC</t>
  </si>
  <si>
    <t>GFV</t>
  </si>
  <si>
    <t>GK</t>
  </si>
  <si>
    <t>MZ</t>
  </si>
  <si>
    <t>AGE</t>
  </si>
  <si>
    <t>GIW</t>
  </si>
  <si>
    <t>low</t>
  </si>
  <si>
    <t>ISU</t>
  </si>
  <si>
    <t>GD</t>
  </si>
  <si>
    <t>SP</t>
  </si>
  <si>
    <t>CRU</t>
  </si>
  <si>
    <t>GH</t>
  </si>
  <si>
    <t>JI</t>
  </si>
  <si>
    <t>GIE</t>
  </si>
  <si>
    <t>WFU</t>
  </si>
  <si>
    <t>TP</t>
  </si>
  <si>
    <t>treatment</t>
  </si>
  <si>
    <t>avg score</t>
  </si>
  <si>
    <t>avg resprout %</t>
  </si>
  <si>
    <t>no  evident damage</t>
  </si>
  <si>
    <t>treated leaf has only partial damage</t>
  </si>
  <si>
    <t>only treated leaf and cut end are dead</t>
  </si>
  <si>
    <t>treated leaf is dead and some stem or leaf damage below</t>
  </si>
  <si>
    <t>mostly dead and dried out with some residual green</t>
  </si>
  <si>
    <t>completely dead</t>
  </si>
  <si>
    <t>Site</t>
  </si>
  <si>
    <t>Plants</t>
  </si>
  <si>
    <t>avgDmg</t>
  </si>
  <si>
    <t>resprouts</t>
  </si>
  <si>
    <t>dead</t>
  </si>
  <si>
    <t>resproutsPer</t>
  </si>
  <si>
    <t>deadPer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</si>
</sst>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9" max="40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  <c r="T1" s="1">
        <v>17.0</v>
      </c>
      <c r="U1" s="1">
        <v>18.0</v>
      </c>
      <c r="V1" s="1">
        <v>19.0</v>
      </c>
      <c r="W1" s="1">
        <v>20.0</v>
      </c>
      <c r="X1" s="1">
        <v>21.0</v>
      </c>
      <c r="Y1" s="1">
        <v>22.0</v>
      </c>
      <c r="Z1" s="1">
        <v>23.0</v>
      </c>
      <c r="AA1" s="1">
        <v>24.0</v>
      </c>
      <c r="AB1" s="1">
        <v>25.0</v>
      </c>
      <c r="AC1" s="1">
        <v>26.0</v>
      </c>
      <c r="AD1" s="1">
        <v>27.0</v>
      </c>
      <c r="AE1" s="1">
        <v>28.0</v>
      </c>
      <c r="AF1" s="1">
        <v>29.0</v>
      </c>
      <c r="AG1" s="1">
        <v>30.0</v>
      </c>
      <c r="AH1" s="1">
        <v>31.0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</row>
    <row r="2">
      <c r="A2" s="2">
        <v>3.0</v>
      </c>
      <c r="B2" s="3" t="s">
        <v>10</v>
      </c>
      <c r="C2" s="2" t="s">
        <v>11</v>
      </c>
      <c r="D2" s="2">
        <v>4.0</v>
      </c>
      <c r="E2" s="2">
        <v>3.0</v>
      </c>
      <c r="F2" s="2">
        <v>4.0</v>
      </c>
      <c r="G2" s="2">
        <v>3.0</v>
      </c>
      <c r="H2" s="2">
        <v>3.0</v>
      </c>
      <c r="I2" s="2">
        <v>3.0</v>
      </c>
      <c r="J2" s="2">
        <v>2.0</v>
      </c>
      <c r="K2" s="2">
        <v>3.0</v>
      </c>
      <c r="L2" s="2">
        <v>2.0</v>
      </c>
      <c r="M2" s="2">
        <v>2.0</v>
      </c>
      <c r="N2" s="2">
        <v>2.0</v>
      </c>
      <c r="O2" s="2">
        <v>2.0</v>
      </c>
      <c r="P2" s="2">
        <v>2.0</v>
      </c>
      <c r="Q2" s="2">
        <v>2.0</v>
      </c>
      <c r="R2" s="2">
        <v>2.0</v>
      </c>
      <c r="S2" s="2">
        <v>3.0</v>
      </c>
      <c r="T2" s="2">
        <v>2.0</v>
      </c>
      <c r="U2" s="2">
        <v>3.0</v>
      </c>
      <c r="V2" s="2">
        <v>3.0</v>
      </c>
      <c r="W2" s="2">
        <v>3.0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>
        <f t="shared" ref="AI2:AI21" si="1">COUNT(D2:AH2)</f>
        <v>20</v>
      </c>
      <c r="AJ2" s="4">
        <f t="shared" ref="AJ2:AJ21" si="2">AVERAGE(D2:Z2)</f>
        <v>2.65</v>
      </c>
      <c r="AK2" s="2">
        <v>3.0</v>
      </c>
      <c r="AL2" s="2">
        <f t="shared" ref="AL2:AL21" si="3">COUNTIF(D2:AH2,5)</f>
        <v>0</v>
      </c>
      <c r="AM2" s="4">
        <f t="shared" ref="AM2:AM21" si="4">AK2/COUNT(D2:Z2)</f>
        <v>0.15</v>
      </c>
      <c r="AN2" s="4">
        <f t="shared" ref="AN2:AN21" si="5">AL2/COUNT(D2:AH2)</f>
        <v>0</v>
      </c>
    </row>
    <row r="3">
      <c r="A3" s="2">
        <v>5.0</v>
      </c>
      <c r="B3" s="3" t="s">
        <v>12</v>
      </c>
      <c r="C3" s="2" t="s">
        <v>11</v>
      </c>
      <c r="D3" s="2">
        <v>2.0</v>
      </c>
      <c r="E3" s="2">
        <v>3.0</v>
      </c>
      <c r="F3" s="2">
        <v>5.0</v>
      </c>
      <c r="G3" s="2">
        <v>3.0</v>
      </c>
      <c r="H3" s="2">
        <v>0.0</v>
      </c>
      <c r="I3" s="2">
        <v>2.0</v>
      </c>
      <c r="J3" s="2">
        <v>0.0</v>
      </c>
      <c r="K3" s="2">
        <v>0.0</v>
      </c>
      <c r="L3" s="2">
        <v>1.0</v>
      </c>
      <c r="M3" s="2">
        <v>2.0</v>
      </c>
      <c r="N3" s="2">
        <v>3.0</v>
      </c>
      <c r="O3" s="2">
        <v>3.0</v>
      </c>
      <c r="P3" s="2">
        <v>0.0</v>
      </c>
      <c r="Q3" s="2">
        <v>4.0</v>
      </c>
      <c r="R3" s="2">
        <v>4.0</v>
      </c>
      <c r="S3" s="2">
        <v>2.0</v>
      </c>
      <c r="T3" s="2">
        <v>2.0</v>
      </c>
      <c r="U3" s="2">
        <v>3.0</v>
      </c>
      <c r="V3" s="2">
        <v>3.0</v>
      </c>
      <c r="W3" s="2">
        <v>2.0</v>
      </c>
      <c r="X3" s="2">
        <v>2.0</v>
      </c>
      <c r="Y3" s="2">
        <v>2.0</v>
      </c>
      <c r="Z3" s="2">
        <v>2.0</v>
      </c>
      <c r="AA3" s="2">
        <v>2.0</v>
      </c>
      <c r="AB3" s="2">
        <v>3.0</v>
      </c>
      <c r="AC3" s="2">
        <v>3.0</v>
      </c>
      <c r="AD3" s="2">
        <v>0.0</v>
      </c>
      <c r="AE3" s="2">
        <v>3.0</v>
      </c>
      <c r="AF3" s="2">
        <v>1.0</v>
      </c>
      <c r="AG3" s="2">
        <v>3.0</v>
      </c>
      <c r="AH3" s="2">
        <v>3.0</v>
      </c>
      <c r="AI3" s="2">
        <f t="shared" si="1"/>
        <v>31</v>
      </c>
      <c r="AJ3" s="4">
        <f t="shared" si="2"/>
        <v>2.173913043</v>
      </c>
      <c r="AK3" s="2">
        <v>3.0</v>
      </c>
      <c r="AL3" s="2">
        <f t="shared" si="3"/>
        <v>1</v>
      </c>
      <c r="AM3" s="4">
        <f t="shared" si="4"/>
        <v>0.1304347826</v>
      </c>
      <c r="AN3" s="4">
        <f t="shared" si="5"/>
        <v>0.03225806452</v>
      </c>
    </row>
    <row r="4">
      <c r="A4" s="2">
        <v>8.0</v>
      </c>
      <c r="B4" s="3" t="s">
        <v>13</v>
      </c>
      <c r="C4" s="2" t="s">
        <v>11</v>
      </c>
      <c r="D4" s="2">
        <v>3.0</v>
      </c>
      <c r="E4" s="2">
        <v>4.0</v>
      </c>
      <c r="F4" s="2">
        <v>3.0</v>
      </c>
      <c r="G4" s="2">
        <v>3.0</v>
      </c>
      <c r="H4" s="2">
        <v>2.0</v>
      </c>
      <c r="I4" s="2">
        <v>2.0</v>
      </c>
      <c r="J4" s="2">
        <v>1.0</v>
      </c>
      <c r="K4" s="2">
        <v>2.0</v>
      </c>
      <c r="L4" s="2">
        <v>2.0</v>
      </c>
      <c r="M4" s="2">
        <v>1.0</v>
      </c>
      <c r="N4" s="2">
        <v>2.0</v>
      </c>
      <c r="O4" s="2">
        <v>2.0</v>
      </c>
      <c r="P4" s="2">
        <v>3.0</v>
      </c>
      <c r="Q4" s="2">
        <v>4.0</v>
      </c>
      <c r="R4" s="2">
        <v>3.0</v>
      </c>
      <c r="S4" s="2">
        <v>1.0</v>
      </c>
      <c r="T4" s="2">
        <v>3.0</v>
      </c>
      <c r="U4" s="2">
        <v>3.0</v>
      </c>
      <c r="V4" s="2">
        <v>3.0</v>
      </c>
      <c r="W4" s="2">
        <v>3.0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2">
        <f t="shared" si="1"/>
        <v>20</v>
      </c>
      <c r="AJ4" s="4">
        <f t="shared" si="2"/>
        <v>2.5</v>
      </c>
      <c r="AK4" s="2">
        <v>3.0</v>
      </c>
      <c r="AL4" s="2">
        <f t="shared" si="3"/>
        <v>0</v>
      </c>
      <c r="AM4" s="4">
        <f t="shared" si="4"/>
        <v>0.15</v>
      </c>
      <c r="AN4" s="4">
        <f t="shared" si="5"/>
        <v>0</v>
      </c>
    </row>
    <row r="5">
      <c r="A5" s="2">
        <v>9.0</v>
      </c>
      <c r="B5" s="3" t="s">
        <v>14</v>
      </c>
      <c r="C5" s="2" t="s">
        <v>11</v>
      </c>
      <c r="D5" s="2">
        <v>3.0</v>
      </c>
      <c r="E5" s="2">
        <v>3.0</v>
      </c>
      <c r="F5" s="2">
        <v>5.0</v>
      </c>
      <c r="G5" s="2">
        <v>3.0</v>
      </c>
      <c r="H5" s="2">
        <v>3.0</v>
      </c>
      <c r="I5" s="2">
        <v>4.0</v>
      </c>
      <c r="J5" s="2">
        <v>0.0</v>
      </c>
      <c r="K5" s="2">
        <v>0.0</v>
      </c>
      <c r="L5" s="2">
        <v>2.0</v>
      </c>
      <c r="M5" s="2">
        <v>2.0</v>
      </c>
      <c r="N5" s="2">
        <v>3.0</v>
      </c>
      <c r="O5" s="2">
        <v>3.0</v>
      </c>
      <c r="P5" s="2">
        <v>3.0</v>
      </c>
      <c r="Q5" s="2">
        <v>3.0</v>
      </c>
      <c r="R5" s="2">
        <v>2.0</v>
      </c>
      <c r="S5" s="2">
        <v>0.0</v>
      </c>
      <c r="T5" s="2">
        <v>2.0</v>
      </c>
      <c r="U5" s="2">
        <v>3.0</v>
      </c>
      <c r="V5" s="2">
        <v>4.0</v>
      </c>
      <c r="W5" s="2">
        <v>3.0</v>
      </c>
      <c r="X5" s="2">
        <v>3.0</v>
      </c>
      <c r="Y5" s="2">
        <v>3.0</v>
      </c>
      <c r="Z5" s="2">
        <v>3.0</v>
      </c>
      <c r="AA5" s="2">
        <v>2.0</v>
      </c>
      <c r="AB5" s="2">
        <v>3.0</v>
      </c>
      <c r="AC5" s="2">
        <v>1.0</v>
      </c>
      <c r="AD5" s="2">
        <v>1.0</v>
      </c>
      <c r="AE5" s="2">
        <v>1.0</v>
      </c>
      <c r="AF5" s="4"/>
      <c r="AG5" s="4"/>
      <c r="AH5" s="4"/>
      <c r="AI5" s="2">
        <f t="shared" si="1"/>
        <v>28</v>
      </c>
      <c r="AJ5" s="4">
        <f t="shared" si="2"/>
        <v>2.608695652</v>
      </c>
      <c r="AK5" s="2">
        <v>9.0</v>
      </c>
      <c r="AL5" s="2">
        <f t="shared" si="3"/>
        <v>1</v>
      </c>
      <c r="AM5" s="4">
        <f t="shared" si="4"/>
        <v>0.3913043478</v>
      </c>
      <c r="AN5" s="4">
        <f t="shared" si="5"/>
        <v>0.03571428571</v>
      </c>
    </row>
    <row r="6">
      <c r="A6" s="2">
        <v>10.0</v>
      </c>
      <c r="B6" s="3" t="s">
        <v>15</v>
      </c>
      <c r="C6" s="2" t="s">
        <v>11</v>
      </c>
      <c r="D6" s="2">
        <v>3.0</v>
      </c>
      <c r="E6" s="2">
        <v>4.0</v>
      </c>
      <c r="F6" s="2">
        <v>4.0</v>
      </c>
      <c r="G6" s="2">
        <v>4.0</v>
      </c>
      <c r="H6" s="2">
        <v>2.0</v>
      </c>
      <c r="I6" s="2">
        <v>3.0</v>
      </c>
      <c r="J6" s="2">
        <v>2.0</v>
      </c>
      <c r="K6" s="2">
        <v>2.0</v>
      </c>
      <c r="L6" s="2">
        <v>3.0</v>
      </c>
      <c r="M6" s="2">
        <v>3.0</v>
      </c>
      <c r="N6" s="2">
        <v>4.0</v>
      </c>
      <c r="O6" s="2">
        <v>3.0</v>
      </c>
      <c r="P6" s="2">
        <v>3.0</v>
      </c>
      <c r="Q6" s="2">
        <v>3.0</v>
      </c>
      <c r="R6" s="2">
        <v>2.0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2">
        <f t="shared" si="1"/>
        <v>15</v>
      </c>
      <c r="AJ6" s="4">
        <f t="shared" si="2"/>
        <v>3</v>
      </c>
      <c r="AK6" s="2">
        <v>5.0</v>
      </c>
      <c r="AL6" s="2">
        <f t="shared" si="3"/>
        <v>0</v>
      </c>
      <c r="AM6" s="4">
        <f t="shared" si="4"/>
        <v>0.3333333333</v>
      </c>
      <c r="AN6" s="4">
        <f t="shared" si="5"/>
        <v>0</v>
      </c>
    </row>
    <row r="7">
      <c r="A7" s="2">
        <v>12.0</v>
      </c>
      <c r="B7" s="3" t="s">
        <v>16</v>
      </c>
      <c r="C7" s="2" t="s">
        <v>11</v>
      </c>
      <c r="D7" s="2">
        <v>3.0</v>
      </c>
      <c r="E7" s="2">
        <v>3.0</v>
      </c>
      <c r="F7" s="2">
        <v>3.0</v>
      </c>
      <c r="G7" s="2">
        <v>3.0</v>
      </c>
      <c r="H7" s="2">
        <v>3.0</v>
      </c>
      <c r="I7" s="2">
        <v>3.0</v>
      </c>
      <c r="J7" s="2">
        <v>1.0</v>
      </c>
      <c r="K7" s="2">
        <v>3.0</v>
      </c>
      <c r="L7" s="2">
        <v>3.0</v>
      </c>
      <c r="M7" s="2">
        <v>4.0</v>
      </c>
      <c r="N7" s="2">
        <v>3.0</v>
      </c>
      <c r="O7" s="2">
        <v>4.0</v>
      </c>
      <c r="P7" s="2">
        <v>3.0</v>
      </c>
      <c r="Q7" s="2">
        <v>3.0</v>
      </c>
      <c r="R7" s="2">
        <v>3.0</v>
      </c>
      <c r="S7" s="2">
        <v>3.0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si="1"/>
        <v>16</v>
      </c>
      <c r="AJ7" s="4">
        <f t="shared" si="2"/>
        <v>3</v>
      </c>
      <c r="AK7" s="2">
        <v>6.0</v>
      </c>
      <c r="AL7" s="2">
        <f t="shared" si="3"/>
        <v>0</v>
      </c>
      <c r="AM7" s="4">
        <f t="shared" si="4"/>
        <v>0.375</v>
      </c>
      <c r="AN7" s="4">
        <f t="shared" si="5"/>
        <v>0</v>
      </c>
    </row>
    <row r="8">
      <c r="A8" s="2">
        <v>15.0</v>
      </c>
      <c r="B8" s="3" t="s">
        <v>17</v>
      </c>
      <c r="C8" s="2" t="s">
        <v>11</v>
      </c>
      <c r="D8" s="2">
        <v>3.0</v>
      </c>
      <c r="E8" s="2">
        <v>4.0</v>
      </c>
      <c r="F8" s="2">
        <v>3.0</v>
      </c>
      <c r="G8" s="2">
        <v>0.0</v>
      </c>
      <c r="H8" s="2">
        <v>0.0</v>
      </c>
      <c r="I8" s="2">
        <v>2.0</v>
      </c>
      <c r="J8" s="2">
        <v>1.0</v>
      </c>
      <c r="K8" s="2">
        <v>1.0</v>
      </c>
      <c r="L8" s="2">
        <v>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">
        <f t="shared" si="1"/>
        <v>9</v>
      </c>
      <c r="AJ8" s="4">
        <f t="shared" si="2"/>
        <v>1.666666667</v>
      </c>
      <c r="AK8" s="2">
        <v>1.0</v>
      </c>
      <c r="AL8" s="2">
        <f t="shared" si="3"/>
        <v>0</v>
      </c>
      <c r="AM8" s="4">
        <f t="shared" si="4"/>
        <v>0.1111111111</v>
      </c>
      <c r="AN8" s="4">
        <f t="shared" si="5"/>
        <v>0</v>
      </c>
    </row>
    <row r="9">
      <c r="A9" s="2">
        <v>16.0</v>
      </c>
      <c r="B9" s="3" t="s">
        <v>18</v>
      </c>
      <c r="C9" s="2" t="s">
        <v>11</v>
      </c>
      <c r="D9" s="2">
        <v>3.0</v>
      </c>
      <c r="E9" s="2">
        <v>3.0</v>
      </c>
      <c r="F9" s="2">
        <v>1.0</v>
      </c>
      <c r="G9" s="2">
        <v>1.0</v>
      </c>
      <c r="H9" s="2">
        <v>3.0</v>
      </c>
      <c r="I9" s="2">
        <v>3.0</v>
      </c>
      <c r="J9" s="2">
        <v>3.0</v>
      </c>
      <c r="K9" s="2">
        <v>3.0</v>
      </c>
      <c r="L9" s="2">
        <v>1.0</v>
      </c>
      <c r="M9" s="2">
        <v>3.0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2">
        <f t="shared" si="1"/>
        <v>15</v>
      </c>
      <c r="AJ9" s="4">
        <f t="shared" si="2"/>
        <v>1.933333333</v>
      </c>
      <c r="AK9" s="2">
        <v>1.0</v>
      </c>
      <c r="AL9" s="2">
        <f t="shared" si="3"/>
        <v>0</v>
      </c>
      <c r="AM9" s="4">
        <f t="shared" si="4"/>
        <v>0.06666666667</v>
      </c>
      <c r="AN9" s="4">
        <f t="shared" si="5"/>
        <v>0</v>
      </c>
    </row>
    <row r="10">
      <c r="A10" s="2">
        <v>17.0</v>
      </c>
      <c r="B10" s="3" t="s">
        <v>19</v>
      </c>
      <c r="C10" s="2" t="s">
        <v>11</v>
      </c>
      <c r="D10" s="2">
        <v>3.0</v>
      </c>
      <c r="E10" s="2">
        <v>4.0</v>
      </c>
      <c r="F10" s="2">
        <v>3.0</v>
      </c>
      <c r="G10" s="2">
        <v>1.0</v>
      </c>
      <c r="H10" s="2">
        <v>1.0</v>
      </c>
      <c r="I10" s="2">
        <v>2.0</v>
      </c>
      <c r="J10" s="2">
        <v>3.0</v>
      </c>
      <c r="K10" s="2">
        <v>3.0</v>
      </c>
      <c r="L10" s="2">
        <v>3.0</v>
      </c>
      <c r="M10" s="2">
        <v>2.0</v>
      </c>
      <c r="N10" s="2">
        <v>1.0</v>
      </c>
      <c r="O10" s="2">
        <v>2.0</v>
      </c>
      <c r="P10" s="2">
        <v>3.0</v>
      </c>
      <c r="Q10" s="2">
        <v>1.0</v>
      </c>
      <c r="R10" s="2">
        <v>2.0</v>
      </c>
      <c r="S10" s="2">
        <v>2.0</v>
      </c>
      <c r="T10" s="2">
        <v>3.0</v>
      </c>
      <c r="U10" s="2">
        <v>3.0</v>
      </c>
      <c r="V10" s="2">
        <v>2.0</v>
      </c>
      <c r="W10" s="2">
        <v>2.0</v>
      </c>
      <c r="X10" s="2">
        <v>2.0</v>
      </c>
      <c r="Y10" s="2">
        <v>3.0</v>
      </c>
      <c r="Z10" s="2">
        <v>2.0</v>
      </c>
      <c r="AA10" s="2">
        <v>2.0</v>
      </c>
      <c r="AB10" s="4"/>
      <c r="AC10" s="4"/>
      <c r="AD10" s="4"/>
      <c r="AE10" s="4"/>
      <c r="AF10" s="4"/>
      <c r="AG10" s="4"/>
      <c r="AH10" s="4"/>
      <c r="AI10" s="2">
        <f t="shared" si="1"/>
        <v>24</v>
      </c>
      <c r="AJ10" s="4">
        <f t="shared" si="2"/>
        <v>2.304347826</v>
      </c>
      <c r="AK10" s="2">
        <v>10.0</v>
      </c>
      <c r="AL10" s="2">
        <f t="shared" si="3"/>
        <v>0</v>
      </c>
      <c r="AM10" s="4">
        <f t="shared" si="4"/>
        <v>0.4347826087</v>
      </c>
      <c r="AN10" s="4">
        <f t="shared" si="5"/>
        <v>0</v>
      </c>
    </row>
    <row r="11">
      <c r="A11" s="2">
        <v>18.0</v>
      </c>
      <c r="B11" s="3" t="s">
        <v>20</v>
      </c>
      <c r="C11" s="2" t="s">
        <v>11</v>
      </c>
      <c r="D11" s="2">
        <v>3.0</v>
      </c>
      <c r="E11" s="2">
        <v>2.0</v>
      </c>
      <c r="F11" s="2">
        <v>3.0</v>
      </c>
      <c r="G11" s="2">
        <v>3.0</v>
      </c>
      <c r="H11" s="2">
        <v>4.0</v>
      </c>
      <c r="I11" s="2">
        <v>1.0</v>
      </c>
      <c r="J11" s="2">
        <v>2.0</v>
      </c>
      <c r="K11" s="2">
        <v>1.0</v>
      </c>
      <c r="L11" s="2">
        <v>1.0</v>
      </c>
      <c r="M11" s="2">
        <v>3.0</v>
      </c>
      <c r="N11" s="2">
        <v>3.0</v>
      </c>
      <c r="O11" s="2">
        <v>3.0</v>
      </c>
      <c r="P11" s="2">
        <v>2.0</v>
      </c>
      <c r="Q11" s="2">
        <v>3.0</v>
      </c>
      <c r="R11" s="2">
        <v>0.0</v>
      </c>
      <c r="S11" s="2">
        <v>0.0</v>
      </c>
      <c r="T11" s="2">
        <v>2.0</v>
      </c>
      <c r="U11" s="2">
        <v>2.0</v>
      </c>
      <c r="V11" s="2">
        <v>2.0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2">
        <f t="shared" si="1"/>
        <v>19</v>
      </c>
      <c r="AJ11" s="4">
        <f t="shared" si="2"/>
        <v>2.105263158</v>
      </c>
      <c r="AK11" s="2">
        <v>5.0</v>
      </c>
      <c r="AL11" s="2">
        <f t="shared" si="3"/>
        <v>0</v>
      </c>
      <c r="AM11" s="4">
        <f t="shared" si="4"/>
        <v>0.2631578947</v>
      </c>
      <c r="AN11" s="4">
        <f t="shared" si="5"/>
        <v>0</v>
      </c>
    </row>
    <row r="12">
      <c r="A12" s="2">
        <v>1.0</v>
      </c>
      <c r="B12" s="5" t="s">
        <v>21</v>
      </c>
      <c r="C12" s="2" t="s">
        <v>22</v>
      </c>
      <c r="D12" s="2">
        <v>5.0</v>
      </c>
      <c r="E12" s="2">
        <v>4.0</v>
      </c>
      <c r="F12" s="2">
        <v>2.0</v>
      </c>
      <c r="G12" s="2">
        <v>4.0</v>
      </c>
      <c r="H12" s="2">
        <v>3.0</v>
      </c>
      <c r="I12" s="2">
        <v>2.0</v>
      </c>
      <c r="J12" s="2">
        <v>2.0</v>
      </c>
      <c r="K12" s="2">
        <v>2.0</v>
      </c>
      <c r="L12" s="2">
        <v>2.0</v>
      </c>
      <c r="M12" s="2">
        <v>5.0</v>
      </c>
      <c r="N12" s="2">
        <v>3.0</v>
      </c>
      <c r="O12" s="2">
        <v>2.0</v>
      </c>
      <c r="P12" s="2">
        <v>4.0</v>
      </c>
      <c r="Q12" s="2">
        <v>3.0</v>
      </c>
      <c r="R12" s="2">
        <v>3.0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2">
        <f t="shared" si="1"/>
        <v>15</v>
      </c>
      <c r="AJ12" s="4">
        <f t="shared" si="2"/>
        <v>3.066666667</v>
      </c>
      <c r="AK12" s="2">
        <v>1.0</v>
      </c>
      <c r="AL12" s="2">
        <f t="shared" si="3"/>
        <v>2</v>
      </c>
      <c r="AM12" s="4">
        <f t="shared" si="4"/>
        <v>0.06666666667</v>
      </c>
      <c r="AN12" s="4">
        <f t="shared" si="5"/>
        <v>0.1333333333</v>
      </c>
    </row>
    <row r="13">
      <c r="A13" s="2">
        <v>2.0</v>
      </c>
      <c r="B13" s="5" t="s">
        <v>23</v>
      </c>
      <c r="C13" s="2" t="s">
        <v>22</v>
      </c>
      <c r="D13" s="2">
        <v>4.0</v>
      </c>
      <c r="E13" s="2">
        <v>5.0</v>
      </c>
      <c r="F13" s="2">
        <v>3.0</v>
      </c>
      <c r="G13" s="2">
        <v>4.0</v>
      </c>
      <c r="H13" s="2">
        <v>4.0</v>
      </c>
      <c r="I13" s="2">
        <v>2.0</v>
      </c>
      <c r="J13" s="2">
        <v>0.0</v>
      </c>
      <c r="K13" s="2">
        <v>3.0</v>
      </c>
      <c r="L13" s="2">
        <v>3.0</v>
      </c>
      <c r="M13" s="2">
        <v>3.0</v>
      </c>
      <c r="N13" s="2">
        <v>2.0</v>
      </c>
      <c r="O13" s="2">
        <v>2.0</v>
      </c>
      <c r="P13" s="2">
        <v>2.0</v>
      </c>
      <c r="Q13" s="2">
        <v>2.0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2">
        <f t="shared" si="1"/>
        <v>14</v>
      </c>
      <c r="AJ13" s="4">
        <f t="shared" si="2"/>
        <v>2.785714286</v>
      </c>
      <c r="AK13" s="2">
        <v>4.0</v>
      </c>
      <c r="AL13" s="2">
        <f t="shared" si="3"/>
        <v>1</v>
      </c>
      <c r="AM13" s="4">
        <f t="shared" si="4"/>
        <v>0.2857142857</v>
      </c>
      <c r="AN13" s="4">
        <f t="shared" si="5"/>
        <v>0.07142857143</v>
      </c>
    </row>
    <row r="14">
      <c r="A14" s="2">
        <v>4.0</v>
      </c>
      <c r="B14" s="5" t="s">
        <v>24</v>
      </c>
      <c r="C14" s="2" t="s">
        <v>22</v>
      </c>
      <c r="D14" s="2">
        <v>3.0</v>
      </c>
      <c r="E14" s="2">
        <v>2.0</v>
      </c>
      <c r="F14" s="2">
        <v>3.0</v>
      </c>
      <c r="G14" s="2">
        <v>0.0</v>
      </c>
      <c r="H14" s="2">
        <v>3.0</v>
      </c>
      <c r="I14" s="2">
        <v>3.0</v>
      </c>
      <c r="J14" s="2">
        <v>2.0</v>
      </c>
      <c r="K14" s="2">
        <v>2.0</v>
      </c>
      <c r="L14" s="2">
        <v>3.0</v>
      </c>
      <c r="M14" s="2">
        <v>1.0</v>
      </c>
      <c r="N14" s="2">
        <v>0.0</v>
      </c>
      <c r="O14" s="2">
        <v>2.0</v>
      </c>
      <c r="P14" s="2">
        <v>3.0</v>
      </c>
      <c r="Q14" s="2">
        <v>2.0</v>
      </c>
      <c r="R14" s="2">
        <v>4.0</v>
      </c>
      <c r="S14" s="2">
        <v>4.0</v>
      </c>
      <c r="T14" s="2">
        <v>3.0</v>
      </c>
      <c r="U14" s="2">
        <v>3.0</v>
      </c>
      <c r="V14" s="2">
        <v>3.0</v>
      </c>
      <c r="W14" s="2">
        <v>3.0</v>
      </c>
      <c r="X14" s="2">
        <v>3.0</v>
      </c>
      <c r="Y14" s="2">
        <v>3.0</v>
      </c>
      <c r="Z14" s="4"/>
      <c r="AA14" s="4"/>
      <c r="AB14" s="4"/>
      <c r="AC14" s="4"/>
      <c r="AD14" s="4"/>
      <c r="AE14" s="4"/>
      <c r="AF14" s="4"/>
      <c r="AG14" s="4"/>
      <c r="AH14" s="4"/>
      <c r="AI14" s="2">
        <f t="shared" si="1"/>
        <v>22</v>
      </c>
      <c r="AJ14" s="4">
        <f t="shared" si="2"/>
        <v>2.5</v>
      </c>
      <c r="AK14" s="2">
        <v>5.0</v>
      </c>
      <c r="AL14" s="2">
        <f t="shared" si="3"/>
        <v>0</v>
      </c>
      <c r="AM14" s="4">
        <f t="shared" si="4"/>
        <v>0.2272727273</v>
      </c>
      <c r="AN14" s="4">
        <f t="shared" si="5"/>
        <v>0</v>
      </c>
    </row>
    <row r="15">
      <c r="A15" s="2">
        <v>6.0</v>
      </c>
      <c r="B15" s="5" t="s">
        <v>25</v>
      </c>
      <c r="C15" s="2" t="s">
        <v>22</v>
      </c>
      <c r="D15" s="2">
        <v>3.0</v>
      </c>
      <c r="E15" s="2">
        <v>4.0</v>
      </c>
      <c r="F15" s="2">
        <v>2.0</v>
      </c>
      <c r="G15" s="2">
        <v>1.0</v>
      </c>
      <c r="H15" s="2">
        <v>2.0</v>
      </c>
      <c r="I15" s="2">
        <v>1.0</v>
      </c>
      <c r="J15" s="2">
        <v>2.0</v>
      </c>
      <c r="K15" s="2">
        <v>2.0</v>
      </c>
      <c r="L15" s="2">
        <v>2.0</v>
      </c>
      <c r="M15" s="2">
        <v>2.0</v>
      </c>
      <c r="N15" s="2">
        <v>0.0</v>
      </c>
      <c r="O15" s="2">
        <v>2.0</v>
      </c>
      <c r="P15" s="2">
        <v>2.0</v>
      </c>
      <c r="Q15" s="2">
        <v>3.0</v>
      </c>
      <c r="R15" s="2">
        <v>3.0</v>
      </c>
      <c r="S15" s="2">
        <v>2.0</v>
      </c>
      <c r="T15" s="2">
        <v>3.0</v>
      </c>
      <c r="U15" s="2">
        <v>3.0</v>
      </c>
      <c r="V15" s="2">
        <v>0.0</v>
      </c>
      <c r="W15" s="2">
        <v>2.0</v>
      </c>
      <c r="X15" s="2">
        <v>2.0</v>
      </c>
      <c r="Y15" s="2">
        <v>3.0</v>
      </c>
      <c r="Z15" s="2">
        <v>3.0</v>
      </c>
      <c r="AA15" s="4"/>
      <c r="AB15" s="4"/>
      <c r="AC15" s="4"/>
      <c r="AD15" s="4"/>
      <c r="AE15" s="4"/>
      <c r="AF15" s="4"/>
      <c r="AG15" s="4"/>
      <c r="AH15" s="4"/>
      <c r="AI15" s="2">
        <f t="shared" si="1"/>
        <v>23</v>
      </c>
      <c r="AJ15" s="4">
        <f t="shared" si="2"/>
        <v>2.130434783</v>
      </c>
      <c r="AK15" s="2">
        <v>2.0</v>
      </c>
      <c r="AL15" s="2">
        <f t="shared" si="3"/>
        <v>0</v>
      </c>
      <c r="AM15" s="4">
        <f t="shared" si="4"/>
        <v>0.08695652174</v>
      </c>
      <c r="AN15" s="4">
        <f t="shared" si="5"/>
        <v>0</v>
      </c>
    </row>
    <row r="16">
      <c r="A16" s="2">
        <v>7.0</v>
      </c>
      <c r="B16" s="5" t="s">
        <v>26</v>
      </c>
      <c r="C16" s="2" t="s">
        <v>22</v>
      </c>
      <c r="D16" s="2">
        <v>2.0</v>
      </c>
      <c r="E16" s="2">
        <v>4.0</v>
      </c>
      <c r="F16" s="2">
        <v>3.0</v>
      </c>
      <c r="G16" s="2">
        <v>2.0</v>
      </c>
      <c r="H16" s="2">
        <v>3.0</v>
      </c>
      <c r="I16" s="2">
        <v>3.0</v>
      </c>
      <c r="J16" s="2">
        <v>2.0</v>
      </c>
      <c r="K16" s="2">
        <v>2.0</v>
      </c>
      <c r="L16" s="2">
        <v>2.0</v>
      </c>
      <c r="M16" s="2">
        <v>2.0</v>
      </c>
      <c r="N16" s="2">
        <v>0.0</v>
      </c>
      <c r="O16" s="2">
        <v>2.0</v>
      </c>
      <c r="P16" s="2">
        <v>3.0</v>
      </c>
      <c r="Q16" s="2">
        <v>3.0</v>
      </c>
      <c r="R16" s="2">
        <v>3.0</v>
      </c>
      <c r="S16" s="2">
        <v>0.0</v>
      </c>
      <c r="T16" s="2">
        <v>1.0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2">
        <f t="shared" si="1"/>
        <v>17</v>
      </c>
      <c r="AJ16" s="4">
        <f t="shared" si="2"/>
        <v>2.176470588</v>
      </c>
      <c r="AK16" s="2">
        <v>3.0</v>
      </c>
      <c r="AL16" s="2">
        <f t="shared" si="3"/>
        <v>0</v>
      </c>
      <c r="AM16" s="4">
        <f t="shared" si="4"/>
        <v>0.1764705882</v>
      </c>
      <c r="AN16" s="4">
        <f t="shared" si="5"/>
        <v>0</v>
      </c>
    </row>
    <row r="17">
      <c r="A17" s="2">
        <v>11.0</v>
      </c>
      <c r="B17" s="5" t="s">
        <v>27</v>
      </c>
      <c r="C17" s="2" t="s">
        <v>22</v>
      </c>
      <c r="D17" s="2">
        <v>4.0</v>
      </c>
      <c r="E17" s="2">
        <v>3.0</v>
      </c>
      <c r="F17" s="2">
        <v>1.0</v>
      </c>
      <c r="G17" s="2">
        <v>1.0</v>
      </c>
      <c r="H17" s="2">
        <v>3.0</v>
      </c>
      <c r="I17" s="2">
        <v>3.0</v>
      </c>
      <c r="J17" s="2">
        <v>3.0</v>
      </c>
      <c r="K17" s="2">
        <v>1.0</v>
      </c>
      <c r="L17" s="2">
        <v>4.0</v>
      </c>
      <c r="M17" s="2">
        <v>2.0</v>
      </c>
      <c r="N17" s="2">
        <v>4.0</v>
      </c>
      <c r="O17" s="2">
        <v>4.0</v>
      </c>
      <c r="P17" s="2">
        <v>3.0</v>
      </c>
      <c r="Q17" s="2">
        <v>3.0</v>
      </c>
      <c r="R17" s="2">
        <v>3.0</v>
      </c>
      <c r="S17" s="2">
        <v>3.0</v>
      </c>
      <c r="T17" s="2">
        <v>3.0</v>
      </c>
      <c r="U17" s="2">
        <v>3.0</v>
      </c>
      <c r="V17" s="2">
        <v>3.0</v>
      </c>
      <c r="W17" s="2">
        <v>3.0</v>
      </c>
      <c r="X17" s="2">
        <v>2.0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2">
        <f t="shared" si="1"/>
        <v>21</v>
      </c>
      <c r="AJ17" s="4">
        <f t="shared" si="2"/>
        <v>2.80952381</v>
      </c>
      <c r="AK17" s="2">
        <v>7.0</v>
      </c>
      <c r="AL17" s="2">
        <f t="shared" si="3"/>
        <v>0</v>
      </c>
      <c r="AM17" s="4">
        <f t="shared" si="4"/>
        <v>0.3333333333</v>
      </c>
      <c r="AN17" s="4">
        <f t="shared" si="5"/>
        <v>0</v>
      </c>
    </row>
    <row r="18">
      <c r="A18" s="2">
        <v>13.0</v>
      </c>
      <c r="B18" s="5" t="s">
        <v>28</v>
      </c>
      <c r="C18" s="2" t="s">
        <v>22</v>
      </c>
      <c r="D18" s="2">
        <v>3.0</v>
      </c>
      <c r="E18" s="2">
        <v>3.0</v>
      </c>
      <c r="F18" s="2">
        <v>3.0</v>
      </c>
      <c r="G18" s="2">
        <v>3.0</v>
      </c>
      <c r="H18" s="2">
        <v>4.0</v>
      </c>
      <c r="I18" s="2">
        <v>3.0</v>
      </c>
      <c r="J18" s="2">
        <v>3.0</v>
      </c>
      <c r="K18" s="2">
        <v>3.0</v>
      </c>
      <c r="L18" s="2">
        <v>3.0</v>
      </c>
      <c r="M18" s="2">
        <v>3.0</v>
      </c>
      <c r="N18" s="2">
        <v>4.0</v>
      </c>
      <c r="O18" s="2">
        <v>3.0</v>
      </c>
      <c r="P18" s="2">
        <v>4.0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2">
        <f t="shared" si="1"/>
        <v>13</v>
      </c>
      <c r="AJ18" s="4">
        <f t="shared" si="2"/>
        <v>3.230769231</v>
      </c>
      <c r="AK18" s="2">
        <v>4.0</v>
      </c>
      <c r="AL18" s="2">
        <f t="shared" si="3"/>
        <v>0</v>
      </c>
      <c r="AM18" s="4">
        <f t="shared" si="4"/>
        <v>0.3076923077</v>
      </c>
      <c r="AN18" s="4">
        <f t="shared" si="5"/>
        <v>0</v>
      </c>
    </row>
    <row r="19">
      <c r="A19" s="2">
        <v>14.0</v>
      </c>
      <c r="B19" s="5" t="s">
        <v>29</v>
      </c>
      <c r="C19" s="2" t="s">
        <v>22</v>
      </c>
      <c r="D19" s="2">
        <v>4.0</v>
      </c>
      <c r="E19" s="2">
        <v>4.0</v>
      </c>
      <c r="F19" s="2">
        <v>4.0</v>
      </c>
      <c r="G19" s="2">
        <v>3.0</v>
      </c>
      <c r="H19" s="2">
        <v>4.0</v>
      </c>
      <c r="I19" s="2">
        <v>4.0</v>
      </c>
      <c r="J19" s="2">
        <v>4.0</v>
      </c>
      <c r="K19" s="2">
        <v>2.0</v>
      </c>
      <c r="L19" s="2">
        <v>3.0</v>
      </c>
      <c r="M19" s="2">
        <v>3.0</v>
      </c>
      <c r="N19" s="2">
        <v>0.0</v>
      </c>
      <c r="O19" s="2">
        <v>4.0</v>
      </c>
      <c r="P19" s="2">
        <v>1.0</v>
      </c>
      <c r="Q19" s="2">
        <v>3.0</v>
      </c>
      <c r="R19" s="2">
        <v>2.0</v>
      </c>
      <c r="S19" s="2">
        <v>3.0</v>
      </c>
      <c r="T19" s="2">
        <v>3.0</v>
      </c>
      <c r="U19" s="2">
        <v>1.0</v>
      </c>
      <c r="V19" s="2">
        <v>2.0</v>
      </c>
      <c r="W19" s="2">
        <v>2.0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2">
        <f t="shared" si="1"/>
        <v>20</v>
      </c>
      <c r="AJ19" s="4">
        <f t="shared" si="2"/>
        <v>2.8</v>
      </c>
      <c r="AK19" s="2">
        <v>4.0</v>
      </c>
      <c r="AL19" s="2">
        <f t="shared" si="3"/>
        <v>0</v>
      </c>
      <c r="AM19" s="4">
        <f t="shared" si="4"/>
        <v>0.2</v>
      </c>
      <c r="AN19" s="4">
        <f t="shared" si="5"/>
        <v>0</v>
      </c>
    </row>
    <row r="20">
      <c r="A20" s="2">
        <v>20.0</v>
      </c>
      <c r="B20" s="5" t="s">
        <v>30</v>
      </c>
      <c r="C20" s="2" t="s">
        <v>22</v>
      </c>
      <c r="D20" s="2">
        <v>3.0</v>
      </c>
      <c r="E20" s="2">
        <v>3.0</v>
      </c>
      <c r="F20" s="2">
        <v>5.0</v>
      </c>
      <c r="G20" s="2">
        <v>3.0</v>
      </c>
      <c r="H20" s="2">
        <v>1.0</v>
      </c>
      <c r="I20" s="2">
        <v>1.0</v>
      </c>
      <c r="J20" s="2">
        <v>4.0</v>
      </c>
      <c r="K20" s="2">
        <v>3.0</v>
      </c>
      <c r="L20" s="2">
        <v>4.0</v>
      </c>
      <c r="M20" s="2">
        <v>5.0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2.0</v>
      </c>
      <c r="T20" s="2">
        <v>2.0</v>
      </c>
      <c r="U20" s="2">
        <v>3.0</v>
      </c>
      <c r="V20" s="2">
        <v>3.0</v>
      </c>
      <c r="W20" s="2">
        <v>2.0</v>
      </c>
      <c r="X20" s="2">
        <v>2.0</v>
      </c>
      <c r="Y20" s="2">
        <v>0.0</v>
      </c>
      <c r="Z20" s="2">
        <v>0.0</v>
      </c>
      <c r="AA20" s="2">
        <v>2.0</v>
      </c>
      <c r="AB20" s="2">
        <v>4.0</v>
      </c>
      <c r="AC20" s="2">
        <v>3.0</v>
      </c>
      <c r="AD20" s="4"/>
      <c r="AE20" s="4"/>
      <c r="AF20" s="4"/>
      <c r="AG20" s="4"/>
      <c r="AH20" s="4"/>
      <c r="AI20" s="2">
        <f t="shared" si="1"/>
        <v>26</v>
      </c>
      <c r="AJ20" s="4">
        <f t="shared" si="2"/>
        <v>2.217391304</v>
      </c>
      <c r="AK20" s="2">
        <v>8.0</v>
      </c>
      <c r="AL20" s="2">
        <f t="shared" si="3"/>
        <v>2</v>
      </c>
      <c r="AM20" s="4">
        <f t="shared" si="4"/>
        <v>0.347826087</v>
      </c>
      <c r="AN20" s="4">
        <f t="shared" si="5"/>
        <v>0.07692307692</v>
      </c>
    </row>
    <row r="21">
      <c r="A21" s="2">
        <v>21.0</v>
      </c>
      <c r="B21" s="5" t="s">
        <v>31</v>
      </c>
      <c r="C21" s="2" t="s">
        <v>22</v>
      </c>
      <c r="D21" s="2">
        <v>1.0</v>
      </c>
      <c r="E21" s="2">
        <v>2.0</v>
      </c>
      <c r="F21" s="2">
        <v>1.0</v>
      </c>
      <c r="G21" s="2">
        <v>1.0</v>
      </c>
      <c r="H21" s="2">
        <v>1.0</v>
      </c>
      <c r="I21" s="2">
        <v>4.0</v>
      </c>
      <c r="J21" s="2">
        <v>3.0</v>
      </c>
      <c r="K21" s="2">
        <v>0.0</v>
      </c>
      <c r="L21" s="2">
        <v>0.0</v>
      </c>
      <c r="M21" s="2">
        <v>1.0</v>
      </c>
      <c r="N21" s="2">
        <v>1.0</v>
      </c>
      <c r="O21" s="2">
        <v>3.0</v>
      </c>
      <c r="P21" s="2">
        <v>4.0</v>
      </c>
      <c r="Q21" s="2">
        <v>3.0</v>
      </c>
      <c r="R21" s="2">
        <v>1.0</v>
      </c>
      <c r="S21" s="2">
        <v>2.0</v>
      </c>
      <c r="T21" s="2">
        <v>1.0</v>
      </c>
      <c r="U21" s="2">
        <v>3.0</v>
      </c>
      <c r="V21" s="2">
        <v>3.0</v>
      </c>
      <c r="W21" s="2">
        <v>1.0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2">
        <f t="shared" si="1"/>
        <v>20</v>
      </c>
      <c r="AJ21" s="4">
        <f t="shared" si="2"/>
        <v>1.8</v>
      </c>
      <c r="AK21" s="2">
        <v>6.0</v>
      </c>
      <c r="AL21" s="2">
        <f t="shared" si="3"/>
        <v>0</v>
      </c>
      <c r="AM21" s="4">
        <f t="shared" si="4"/>
        <v>0.3</v>
      </c>
      <c r="AN21" s="4">
        <f t="shared" si="5"/>
        <v>0</v>
      </c>
    </row>
    <row r="22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>
      <c r="A23" s="2" t="s">
        <v>32</v>
      </c>
      <c r="B23" s="2" t="s">
        <v>33</v>
      </c>
      <c r="C23" s="2" t="s">
        <v>34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>
      <c r="A24" s="2" t="s">
        <v>11</v>
      </c>
      <c r="B24" s="4">
        <f>AVERAGE(AJ2:AJ11)</f>
        <v>2.394221968</v>
      </c>
      <c r="C24" s="4">
        <f>AVERAGE(AM2:AM11)</f>
        <v>0.2405790745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>
      <c r="A25" s="2" t="s">
        <v>22</v>
      </c>
      <c r="B25" s="4">
        <f>AVERAGE(AJ12:AJ21)</f>
        <v>2.551697067</v>
      </c>
      <c r="C25" s="4">
        <f>AVERAGE(AM12:AM21)</f>
        <v>0.2331932518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>
      <c r="A28" s="7">
        <v>0.0</v>
      </c>
      <c r="B28" s="7" t="s">
        <v>35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>
      <c r="A29" s="8">
        <v>1.0</v>
      </c>
      <c r="B29" s="7" t="s">
        <v>36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>
      <c r="A30" s="8">
        <v>2.0</v>
      </c>
      <c r="B30" s="7" t="s">
        <v>37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>
      <c r="A31" s="8">
        <v>3.0</v>
      </c>
      <c r="B31" s="7" t="s">
        <v>38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>
      <c r="A32" s="8">
        <v>4.0</v>
      </c>
      <c r="B32" s="7" t="s">
        <v>39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>
      <c r="A33" s="8">
        <v>5.0</v>
      </c>
      <c r="B33" s="7" t="s">
        <v>40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7" max="3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  <c r="T1" s="1">
        <v>17.0</v>
      </c>
      <c r="U1" s="1">
        <v>18.0</v>
      </c>
      <c r="V1" s="1">
        <v>19.0</v>
      </c>
      <c r="W1" s="1">
        <v>20.0</v>
      </c>
      <c r="X1" s="1">
        <v>21.0</v>
      </c>
      <c r="Y1" s="1">
        <v>22.0</v>
      </c>
      <c r="Z1" s="1">
        <v>23.0</v>
      </c>
      <c r="AA1" s="1">
        <v>24.0</v>
      </c>
      <c r="AB1" s="1">
        <v>25.0</v>
      </c>
      <c r="AC1" s="1">
        <v>26.0</v>
      </c>
      <c r="AD1" s="1">
        <v>27.0</v>
      </c>
      <c r="AE1" s="1">
        <v>28.0</v>
      </c>
      <c r="AF1" s="1">
        <v>29.0</v>
      </c>
      <c r="AG1" s="1">
        <v>30.0</v>
      </c>
      <c r="AH1" s="1">
        <v>31.0</v>
      </c>
      <c r="AI1" s="1" t="s">
        <v>5</v>
      </c>
      <c r="AJ1" s="1" t="s">
        <v>6</v>
      </c>
      <c r="AK1" s="1" t="s">
        <v>8</v>
      </c>
    </row>
    <row r="2">
      <c r="A2" s="2">
        <v>3.0</v>
      </c>
      <c r="B2" s="3" t="s">
        <v>10</v>
      </c>
      <c r="C2" s="2" t="s">
        <v>11</v>
      </c>
      <c r="D2" s="2">
        <v>4.0</v>
      </c>
      <c r="E2" s="2">
        <v>4.0</v>
      </c>
      <c r="F2" s="2">
        <v>5.0</v>
      </c>
      <c r="G2" s="2">
        <v>4.0</v>
      </c>
      <c r="H2" s="2">
        <v>4.0</v>
      </c>
      <c r="I2" s="2">
        <v>4.0</v>
      </c>
      <c r="J2" s="2">
        <v>3.0</v>
      </c>
      <c r="K2" s="2">
        <v>3.0</v>
      </c>
      <c r="L2" s="2">
        <v>3.0</v>
      </c>
      <c r="M2" s="2">
        <v>4.0</v>
      </c>
      <c r="N2" s="2">
        <v>3.0</v>
      </c>
      <c r="O2" s="2">
        <v>3.0</v>
      </c>
      <c r="P2" s="2">
        <v>4.0</v>
      </c>
      <c r="Q2" s="2">
        <v>4.0</v>
      </c>
      <c r="R2" s="2">
        <v>4.0</v>
      </c>
      <c r="S2" s="2">
        <v>2.0</v>
      </c>
      <c r="T2" s="2">
        <v>4.0</v>
      </c>
      <c r="U2" s="2">
        <v>3.0</v>
      </c>
      <c r="V2" s="2">
        <v>3.0</v>
      </c>
      <c r="W2" s="2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>
        <f>AVERAGE(D2:Z2)</f>
        <v>3.578947368</v>
      </c>
      <c r="AJ2" s="2">
        <v>5.0</v>
      </c>
      <c r="AK2" s="4">
        <f>AJ2/COUNT(D2:Z2)</f>
        <v>0.2631578947</v>
      </c>
    </row>
    <row r="3">
      <c r="A3" s="2">
        <v>5.0</v>
      </c>
      <c r="B3" s="3" t="s">
        <v>12</v>
      </c>
      <c r="C3" s="2" t="s">
        <v>11</v>
      </c>
      <c r="D3" s="2">
        <v>5.0</v>
      </c>
      <c r="E3" s="2">
        <v>5.0</v>
      </c>
      <c r="F3" s="2">
        <v>5.0</v>
      </c>
      <c r="G3" s="2">
        <v>3.0</v>
      </c>
      <c r="H3" s="2">
        <v>3.0</v>
      </c>
      <c r="I3" s="2">
        <v>0.0</v>
      </c>
      <c r="J3" s="2">
        <v>3.0</v>
      </c>
      <c r="K3" s="2">
        <v>1.0</v>
      </c>
      <c r="L3" s="2">
        <v>3.0</v>
      </c>
      <c r="M3" s="2">
        <v>1.0</v>
      </c>
      <c r="N3" s="2">
        <v>3.0</v>
      </c>
      <c r="O3" s="2">
        <v>4.0</v>
      </c>
      <c r="P3" s="2">
        <v>4.0</v>
      </c>
      <c r="Q3" s="2">
        <v>5.0</v>
      </c>
      <c r="R3" s="2">
        <v>4.0</v>
      </c>
      <c r="S3" s="2">
        <v>5.0</v>
      </c>
      <c r="T3" s="2">
        <v>2.0</v>
      </c>
      <c r="U3" s="2">
        <v>5.0</v>
      </c>
      <c r="V3" s="2">
        <v>3.0</v>
      </c>
      <c r="W3" s="2">
        <v>2.0</v>
      </c>
      <c r="X3" s="2">
        <v>3.0</v>
      </c>
      <c r="Y3" s="2">
        <v>3.0</v>
      </c>
      <c r="Z3" s="2">
        <v>3.0</v>
      </c>
      <c r="AA3" s="2">
        <v>3.0</v>
      </c>
      <c r="AB3" s="2">
        <v>3.0</v>
      </c>
      <c r="AC3" s="2">
        <v>3.0</v>
      </c>
      <c r="AD3" s="2">
        <v>3.0</v>
      </c>
      <c r="AE3" s="2">
        <v>3.0</v>
      </c>
      <c r="AG3" s="2"/>
      <c r="AH3" s="2"/>
      <c r="AI3" s="4">
        <f>AVERAGE(D3:Y3)</f>
        <v>3.272727273</v>
      </c>
      <c r="AJ3" s="2">
        <v>9.0</v>
      </c>
      <c r="AK3" s="4">
        <f>AJ3/COUNT(D3:Y3)</f>
        <v>0.4090909091</v>
      </c>
    </row>
    <row r="4">
      <c r="A4" s="2">
        <v>8.0</v>
      </c>
      <c r="B4" s="3" t="s">
        <v>13</v>
      </c>
      <c r="C4" s="2" t="s">
        <v>11</v>
      </c>
      <c r="D4" s="2">
        <v>3.0</v>
      </c>
      <c r="E4" s="2">
        <v>5.0</v>
      </c>
      <c r="F4" s="2">
        <v>4.0</v>
      </c>
      <c r="G4" s="2">
        <v>3.0</v>
      </c>
      <c r="H4" s="2">
        <v>4.0</v>
      </c>
      <c r="I4" s="2">
        <v>3.0</v>
      </c>
      <c r="J4" s="2">
        <v>1.0</v>
      </c>
      <c r="K4" s="2">
        <v>3.0</v>
      </c>
      <c r="L4" s="2">
        <v>3.0</v>
      </c>
      <c r="M4" s="2">
        <v>3.0</v>
      </c>
      <c r="N4" s="2">
        <v>4.0</v>
      </c>
      <c r="O4" s="2">
        <v>3.0</v>
      </c>
      <c r="P4" s="2">
        <v>4.0</v>
      </c>
      <c r="Q4" s="2">
        <v>5.0</v>
      </c>
      <c r="R4" s="2">
        <v>2.0</v>
      </c>
      <c r="S4" s="2">
        <v>3.0</v>
      </c>
      <c r="T4" s="2">
        <v>3.0</v>
      </c>
      <c r="U4" s="2">
        <v>3.0</v>
      </c>
      <c r="V4" s="2">
        <v>4.0</v>
      </c>
      <c r="W4" s="2">
        <v>4.0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f t="shared" ref="AI4:AI21" si="1">AVERAGE(D4:Z4)</f>
        <v>3.35</v>
      </c>
      <c r="AJ4" s="2">
        <v>11.0</v>
      </c>
      <c r="AK4" s="4">
        <f t="shared" ref="AK4:AK21" si="2">AJ4/COUNT(D4:Z4)</f>
        <v>0.55</v>
      </c>
    </row>
    <row r="5">
      <c r="A5" s="2">
        <v>9.0</v>
      </c>
      <c r="B5" s="3" t="s">
        <v>14</v>
      </c>
      <c r="C5" s="2" t="s">
        <v>11</v>
      </c>
      <c r="D5" s="2">
        <v>4.0</v>
      </c>
      <c r="E5" s="2">
        <v>3.0</v>
      </c>
      <c r="F5" s="2">
        <v>4.0</v>
      </c>
      <c r="G5" s="2">
        <v>4.0</v>
      </c>
      <c r="H5" s="2">
        <v>4.0</v>
      </c>
      <c r="I5" s="2">
        <v>4.0</v>
      </c>
      <c r="J5" s="2">
        <v>1.0</v>
      </c>
      <c r="K5" s="2">
        <v>3.0</v>
      </c>
      <c r="L5" s="2">
        <v>3.0</v>
      </c>
      <c r="M5" s="2">
        <v>4.0</v>
      </c>
      <c r="N5" s="2">
        <v>4.0</v>
      </c>
      <c r="O5" s="2">
        <v>3.0</v>
      </c>
      <c r="P5" s="2">
        <v>3.0</v>
      </c>
      <c r="Q5" s="2">
        <v>3.0</v>
      </c>
      <c r="R5" s="2">
        <v>1.0</v>
      </c>
      <c r="S5" s="2">
        <v>2.0</v>
      </c>
      <c r="T5" s="2">
        <v>5.0</v>
      </c>
      <c r="U5" s="2">
        <v>5.0</v>
      </c>
      <c r="V5" s="2">
        <v>4.0</v>
      </c>
      <c r="W5" s="2">
        <v>3.0</v>
      </c>
      <c r="X5" s="2">
        <v>4.0</v>
      </c>
      <c r="Y5" s="2">
        <v>5.0</v>
      </c>
      <c r="Z5" s="2">
        <v>4.0</v>
      </c>
      <c r="AA5" s="2">
        <v>2.0</v>
      </c>
      <c r="AB5" s="2">
        <v>3.0</v>
      </c>
      <c r="AC5" s="2">
        <v>2.0</v>
      </c>
      <c r="AD5" s="2">
        <v>2.0</v>
      </c>
      <c r="AE5" s="2">
        <v>3.0</v>
      </c>
      <c r="AF5" s="4"/>
      <c r="AG5" s="4"/>
      <c r="AH5" s="4"/>
      <c r="AI5" s="4">
        <f t="shared" si="1"/>
        <v>3.47826087</v>
      </c>
      <c r="AJ5" s="2">
        <v>13.0</v>
      </c>
      <c r="AK5" s="4">
        <f t="shared" si="2"/>
        <v>0.5652173913</v>
      </c>
    </row>
    <row r="6">
      <c r="A6" s="2">
        <v>10.0</v>
      </c>
      <c r="B6" s="3" t="s">
        <v>15</v>
      </c>
      <c r="C6" s="2" t="s">
        <v>11</v>
      </c>
      <c r="D6" s="2">
        <v>4.0</v>
      </c>
      <c r="E6" s="2">
        <v>5.0</v>
      </c>
      <c r="F6" s="2">
        <v>4.0</v>
      </c>
      <c r="G6" s="2">
        <v>4.0</v>
      </c>
      <c r="H6" s="2">
        <v>2.0</v>
      </c>
      <c r="I6" s="2">
        <v>3.0</v>
      </c>
      <c r="J6" s="2">
        <v>3.0</v>
      </c>
      <c r="K6" s="2">
        <v>3.0</v>
      </c>
      <c r="L6" s="2">
        <v>4.0</v>
      </c>
      <c r="M6" s="2">
        <v>4.0</v>
      </c>
      <c r="N6" s="2">
        <v>3.0</v>
      </c>
      <c r="O6" s="2">
        <v>4.0</v>
      </c>
      <c r="P6" s="2">
        <v>3.0</v>
      </c>
      <c r="Q6" s="2">
        <v>2.0</v>
      </c>
      <c r="R6" s="2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>
        <f t="shared" si="1"/>
        <v>3.428571429</v>
      </c>
      <c r="AJ6" s="2">
        <v>7.0</v>
      </c>
      <c r="AK6" s="4">
        <f t="shared" si="2"/>
        <v>0.5</v>
      </c>
    </row>
    <row r="7">
      <c r="A7" s="2">
        <v>12.0</v>
      </c>
      <c r="B7" s="3" t="s">
        <v>16</v>
      </c>
      <c r="C7" s="2" t="s">
        <v>11</v>
      </c>
      <c r="D7" s="2">
        <v>3.0</v>
      </c>
      <c r="E7" s="2">
        <v>3.0</v>
      </c>
      <c r="F7" s="2">
        <v>4.0</v>
      </c>
      <c r="G7" s="2">
        <v>5.0</v>
      </c>
      <c r="H7" s="2">
        <v>4.0</v>
      </c>
      <c r="I7" s="2">
        <v>4.0</v>
      </c>
      <c r="J7" s="2">
        <v>3.0</v>
      </c>
      <c r="K7" s="2">
        <v>3.0</v>
      </c>
      <c r="L7" s="2">
        <v>4.0</v>
      </c>
      <c r="M7" s="2">
        <v>4.0</v>
      </c>
      <c r="N7" s="2">
        <v>4.0</v>
      </c>
      <c r="O7" s="2">
        <v>4.0</v>
      </c>
      <c r="P7" s="2">
        <v>4.0</v>
      </c>
      <c r="Q7" s="2">
        <v>4.0</v>
      </c>
      <c r="R7" s="2">
        <v>5.0</v>
      </c>
      <c r="S7" s="2">
        <v>3.0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>
        <f t="shared" si="1"/>
        <v>3.8125</v>
      </c>
      <c r="AJ7" s="2">
        <v>6.0</v>
      </c>
      <c r="AK7" s="4">
        <f t="shared" si="2"/>
        <v>0.375</v>
      </c>
    </row>
    <row r="8">
      <c r="A8" s="2">
        <v>15.0</v>
      </c>
      <c r="B8" s="3" t="s">
        <v>17</v>
      </c>
      <c r="C8" s="2" t="s">
        <v>11</v>
      </c>
      <c r="D8" s="2">
        <v>4.0</v>
      </c>
      <c r="E8" s="2">
        <v>4.0</v>
      </c>
      <c r="F8" s="2">
        <v>4.0</v>
      </c>
      <c r="G8" s="2">
        <v>0.0</v>
      </c>
      <c r="H8" s="2">
        <v>0.0</v>
      </c>
      <c r="I8" s="2">
        <v>3.0</v>
      </c>
      <c r="J8" s="2">
        <v>1.0</v>
      </c>
      <c r="K8" s="2">
        <v>1.0</v>
      </c>
      <c r="L8" s="2">
        <v>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>
        <f t="shared" si="1"/>
        <v>2</v>
      </c>
      <c r="AJ8" s="2">
        <v>3.0</v>
      </c>
      <c r="AK8" s="4">
        <f t="shared" si="2"/>
        <v>0.3333333333</v>
      </c>
    </row>
    <row r="9">
      <c r="A9" s="2">
        <v>16.0</v>
      </c>
      <c r="B9" s="3" t="s">
        <v>18</v>
      </c>
      <c r="C9" s="2" t="s">
        <v>11</v>
      </c>
      <c r="D9" s="2">
        <v>4.0</v>
      </c>
      <c r="E9" s="2">
        <v>4.0</v>
      </c>
      <c r="F9" s="2">
        <v>2.0</v>
      </c>
      <c r="G9" s="2">
        <v>4.0</v>
      </c>
      <c r="H9" s="2">
        <v>5.0</v>
      </c>
      <c r="I9" s="2">
        <v>5.0</v>
      </c>
      <c r="J9" s="2">
        <v>4.0</v>
      </c>
      <c r="K9" s="2">
        <v>4.0</v>
      </c>
      <c r="L9" s="2">
        <v>3.0</v>
      </c>
      <c r="M9" s="2">
        <v>4.0</v>
      </c>
      <c r="N9" s="2">
        <v>1.0</v>
      </c>
      <c r="O9" s="2">
        <v>1.0</v>
      </c>
      <c r="P9" s="2">
        <v>1.0</v>
      </c>
      <c r="Q9" s="2">
        <v>1.0</v>
      </c>
      <c r="R9" s="2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>
        <f t="shared" si="1"/>
        <v>3.071428571</v>
      </c>
      <c r="AJ9" s="2">
        <v>3.0</v>
      </c>
      <c r="AK9" s="4">
        <f t="shared" si="2"/>
        <v>0.2142857143</v>
      </c>
    </row>
    <row r="10">
      <c r="A10" s="2">
        <v>17.0</v>
      </c>
      <c r="B10" s="3" t="s">
        <v>19</v>
      </c>
      <c r="C10" s="2" t="s">
        <v>11</v>
      </c>
      <c r="D10" s="2">
        <v>5.0</v>
      </c>
      <c r="E10" s="2">
        <v>4.0</v>
      </c>
      <c r="F10" s="2">
        <v>5.0</v>
      </c>
      <c r="G10" s="2">
        <v>0.0</v>
      </c>
      <c r="H10" s="2">
        <v>0.0</v>
      </c>
      <c r="I10" s="2">
        <v>4.0</v>
      </c>
      <c r="J10" s="2">
        <v>4.0</v>
      </c>
      <c r="K10" s="2">
        <v>3.0</v>
      </c>
      <c r="L10" s="2">
        <v>4.0</v>
      </c>
      <c r="M10" s="2">
        <v>4.0</v>
      </c>
      <c r="N10" s="2">
        <v>4.0</v>
      </c>
      <c r="O10" s="2">
        <v>4.0</v>
      </c>
      <c r="P10" s="2">
        <v>1.0</v>
      </c>
      <c r="Q10" s="2">
        <v>4.0</v>
      </c>
      <c r="R10" s="2">
        <v>5.0</v>
      </c>
      <c r="S10" s="2">
        <v>2.0</v>
      </c>
      <c r="T10" s="2">
        <v>3.0</v>
      </c>
      <c r="U10" s="2">
        <v>5.0</v>
      </c>
      <c r="V10" s="2">
        <v>2.0</v>
      </c>
      <c r="W10" s="2">
        <v>1.0</v>
      </c>
      <c r="X10" s="2">
        <v>2.0</v>
      </c>
      <c r="Y10" s="2">
        <v>2.0</v>
      </c>
      <c r="Z10" s="2">
        <v>2.0</v>
      </c>
      <c r="AA10" s="2"/>
      <c r="AB10" s="4"/>
      <c r="AC10" s="4"/>
      <c r="AD10" s="4"/>
      <c r="AE10" s="4"/>
      <c r="AF10" s="4"/>
      <c r="AG10" s="4"/>
      <c r="AH10" s="4"/>
      <c r="AI10" s="4">
        <f t="shared" si="1"/>
        <v>3.043478261</v>
      </c>
      <c r="AJ10" s="2">
        <v>8.0</v>
      </c>
      <c r="AK10" s="4">
        <f t="shared" si="2"/>
        <v>0.347826087</v>
      </c>
    </row>
    <row r="11">
      <c r="A11" s="2">
        <v>18.0</v>
      </c>
      <c r="B11" s="3" t="s">
        <v>20</v>
      </c>
      <c r="C11" s="2" t="s">
        <v>11</v>
      </c>
      <c r="D11" s="2">
        <v>4.0</v>
      </c>
      <c r="E11" s="2">
        <v>4.0</v>
      </c>
      <c r="F11" s="2">
        <v>4.0</v>
      </c>
      <c r="G11" s="2">
        <v>4.0</v>
      </c>
      <c r="H11" s="2">
        <v>5.0</v>
      </c>
      <c r="I11" s="2">
        <v>4.0</v>
      </c>
      <c r="J11" s="2">
        <v>3.0</v>
      </c>
      <c r="K11" s="2">
        <v>4.0</v>
      </c>
      <c r="L11" s="2">
        <v>3.0</v>
      </c>
      <c r="M11" s="2">
        <v>2.0</v>
      </c>
      <c r="N11" s="2">
        <v>3.0</v>
      </c>
      <c r="O11" s="2">
        <v>2.0</v>
      </c>
      <c r="P11" s="2">
        <v>3.0</v>
      </c>
      <c r="Q11" s="2">
        <v>1.0</v>
      </c>
      <c r="R11" s="2">
        <v>2.0</v>
      </c>
      <c r="S11" s="2">
        <v>3.0</v>
      </c>
      <c r="T11" s="2"/>
      <c r="U11" s="2"/>
      <c r="V11" s="2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>
        <f t="shared" si="1"/>
        <v>3.1875</v>
      </c>
      <c r="AJ11" s="2">
        <v>9.0</v>
      </c>
      <c r="AK11" s="4">
        <f t="shared" si="2"/>
        <v>0.5625</v>
      </c>
    </row>
    <row r="12">
      <c r="A12" s="2">
        <v>1.0</v>
      </c>
      <c r="B12" s="5" t="s">
        <v>21</v>
      </c>
      <c r="C12" s="2" t="s">
        <v>22</v>
      </c>
      <c r="D12" s="2">
        <v>5.0</v>
      </c>
      <c r="E12" s="2">
        <v>4.0</v>
      </c>
      <c r="F12" s="2">
        <v>5.0</v>
      </c>
      <c r="G12" s="2">
        <v>4.0</v>
      </c>
      <c r="H12" s="2">
        <v>4.0</v>
      </c>
      <c r="I12" s="2">
        <v>3.0</v>
      </c>
      <c r="J12" s="2">
        <v>5.0</v>
      </c>
      <c r="K12" s="2">
        <v>3.0</v>
      </c>
      <c r="L12" s="2">
        <v>4.0</v>
      </c>
      <c r="M12" s="2">
        <v>5.0</v>
      </c>
      <c r="N12" s="2">
        <v>3.0</v>
      </c>
      <c r="O12" s="2">
        <v>4.0</v>
      </c>
      <c r="P12" s="2">
        <v>4.0</v>
      </c>
      <c r="Q12" s="2">
        <v>3.0</v>
      </c>
      <c r="R12" s="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f t="shared" si="1"/>
        <v>4</v>
      </c>
      <c r="AJ12" s="2">
        <v>5.0</v>
      </c>
      <c r="AK12" s="4">
        <f t="shared" si="2"/>
        <v>0.3571428571</v>
      </c>
    </row>
    <row r="13">
      <c r="A13" s="2">
        <v>2.0</v>
      </c>
      <c r="B13" s="5" t="s">
        <v>23</v>
      </c>
      <c r="C13" s="2" t="s">
        <v>22</v>
      </c>
      <c r="D13" s="2">
        <v>5.0</v>
      </c>
      <c r="E13" s="2">
        <v>5.0</v>
      </c>
      <c r="F13" s="2">
        <v>4.0</v>
      </c>
      <c r="G13" s="2">
        <v>5.0</v>
      </c>
      <c r="H13" s="2">
        <v>4.0</v>
      </c>
      <c r="I13" s="2">
        <v>4.0</v>
      </c>
      <c r="J13" s="2">
        <v>4.0</v>
      </c>
      <c r="K13" s="2">
        <v>3.0</v>
      </c>
      <c r="L13" s="2">
        <v>3.0</v>
      </c>
      <c r="M13" s="2">
        <v>3.0</v>
      </c>
      <c r="N13" s="2">
        <v>4.0</v>
      </c>
      <c r="O13" s="2">
        <v>4.0</v>
      </c>
      <c r="P13" s="2">
        <v>3.0</v>
      </c>
      <c r="Q13" s="2">
        <v>3.0</v>
      </c>
      <c r="R13" s="2">
        <v>3.0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>
        <f t="shared" si="1"/>
        <v>3.8</v>
      </c>
      <c r="AJ13" s="2">
        <v>9.0</v>
      </c>
      <c r="AK13" s="4">
        <f t="shared" si="2"/>
        <v>0.6</v>
      </c>
    </row>
    <row r="14">
      <c r="A14" s="2">
        <v>4.0</v>
      </c>
      <c r="B14" s="5" t="s">
        <v>24</v>
      </c>
      <c r="C14" s="2" t="s">
        <v>22</v>
      </c>
      <c r="D14" s="2">
        <v>5.0</v>
      </c>
      <c r="E14" s="2">
        <v>4.0</v>
      </c>
      <c r="F14" s="2">
        <v>3.0</v>
      </c>
      <c r="G14" s="2">
        <v>4.0</v>
      </c>
      <c r="H14" s="2">
        <v>3.0</v>
      </c>
      <c r="I14" s="2">
        <v>1.0</v>
      </c>
      <c r="J14" s="2">
        <v>3.0</v>
      </c>
      <c r="K14" s="2">
        <v>3.0</v>
      </c>
      <c r="L14" s="2">
        <v>3.0</v>
      </c>
      <c r="M14" s="2">
        <v>2.0</v>
      </c>
      <c r="N14" s="2">
        <v>4.0</v>
      </c>
      <c r="O14" s="2">
        <v>3.0</v>
      </c>
      <c r="P14" s="2">
        <v>3.0</v>
      </c>
      <c r="Q14" s="2">
        <v>3.0</v>
      </c>
      <c r="R14" s="2">
        <v>3.0</v>
      </c>
      <c r="S14" s="2">
        <v>4.0</v>
      </c>
      <c r="T14" s="2">
        <v>4.0</v>
      </c>
      <c r="U14" s="2">
        <v>4.0</v>
      </c>
      <c r="V14" s="2">
        <v>4.0</v>
      </c>
      <c r="W14" s="2">
        <v>4.0</v>
      </c>
      <c r="X14" s="2"/>
      <c r="Y14" s="2"/>
      <c r="Z14" s="4"/>
      <c r="AA14" s="4"/>
      <c r="AB14" s="4"/>
      <c r="AC14" s="4"/>
      <c r="AD14" s="4"/>
      <c r="AE14" s="4"/>
      <c r="AF14" s="4"/>
      <c r="AG14" s="4"/>
      <c r="AH14" s="4"/>
      <c r="AI14" s="4">
        <f t="shared" si="1"/>
        <v>3.35</v>
      </c>
      <c r="AJ14" s="2">
        <v>4.0</v>
      </c>
      <c r="AK14" s="4">
        <f t="shared" si="2"/>
        <v>0.2</v>
      </c>
    </row>
    <row r="15">
      <c r="A15" s="2">
        <v>6.0</v>
      </c>
      <c r="B15" s="5" t="s">
        <v>25</v>
      </c>
      <c r="C15" s="2" t="s">
        <v>22</v>
      </c>
      <c r="D15" s="2">
        <v>2.0</v>
      </c>
      <c r="E15" s="2">
        <v>2.0</v>
      </c>
      <c r="F15" s="2">
        <v>2.0</v>
      </c>
      <c r="G15" s="2">
        <v>3.0</v>
      </c>
      <c r="H15" s="2">
        <v>3.0</v>
      </c>
      <c r="I15" s="2">
        <v>1.0</v>
      </c>
      <c r="J15" s="2">
        <v>2.0</v>
      </c>
      <c r="K15" s="2">
        <v>3.0</v>
      </c>
      <c r="L15" s="2">
        <v>1.0</v>
      </c>
      <c r="M15" s="2">
        <v>1.0</v>
      </c>
      <c r="N15" s="2">
        <v>2.0</v>
      </c>
      <c r="O15" s="2">
        <v>3.0</v>
      </c>
      <c r="P15" s="2">
        <v>3.0</v>
      </c>
      <c r="Q15" s="2">
        <v>4.0</v>
      </c>
      <c r="R15" s="2">
        <v>2.0</v>
      </c>
      <c r="S15" s="2">
        <v>3.0</v>
      </c>
      <c r="T15" s="2">
        <v>3.0</v>
      </c>
      <c r="U15" s="2">
        <v>1.0</v>
      </c>
      <c r="V15" s="2">
        <v>2.0</v>
      </c>
      <c r="W15" s="2">
        <v>3.0</v>
      </c>
      <c r="X15" s="2">
        <v>3.0</v>
      </c>
      <c r="Y15" s="2">
        <v>3.0</v>
      </c>
      <c r="Z15" s="2"/>
      <c r="AA15" s="4"/>
      <c r="AB15" s="4"/>
      <c r="AC15" s="4"/>
      <c r="AD15" s="4"/>
      <c r="AE15" s="4"/>
      <c r="AF15" s="4"/>
      <c r="AG15" s="4"/>
      <c r="AH15" s="4"/>
      <c r="AI15" s="4">
        <f t="shared" si="1"/>
        <v>2.363636364</v>
      </c>
      <c r="AJ15" s="2">
        <v>11.0</v>
      </c>
      <c r="AK15" s="4">
        <f t="shared" si="2"/>
        <v>0.5</v>
      </c>
    </row>
    <row r="16">
      <c r="A16" s="2">
        <v>7.0</v>
      </c>
      <c r="B16" s="5" t="s">
        <v>26</v>
      </c>
      <c r="C16" s="2" t="s">
        <v>22</v>
      </c>
      <c r="D16" s="2">
        <v>3.0</v>
      </c>
      <c r="E16" s="2">
        <v>2.0</v>
      </c>
      <c r="F16" s="2">
        <v>3.0</v>
      </c>
      <c r="G16" s="2">
        <v>4.0</v>
      </c>
      <c r="H16" s="2">
        <v>3.0</v>
      </c>
      <c r="I16" s="2">
        <v>3.0</v>
      </c>
      <c r="J16" s="2">
        <v>3.0</v>
      </c>
      <c r="K16" s="2">
        <v>3.0</v>
      </c>
      <c r="L16" s="2">
        <v>3.0</v>
      </c>
      <c r="M16" s="2">
        <v>1.0</v>
      </c>
      <c r="N16" s="2">
        <v>3.0</v>
      </c>
      <c r="O16" s="2">
        <v>3.0</v>
      </c>
      <c r="P16" s="2">
        <v>4.0</v>
      </c>
      <c r="Q16" s="2">
        <v>3.0</v>
      </c>
      <c r="R16" s="2">
        <v>3.0</v>
      </c>
      <c r="S16" s="2">
        <v>3.0</v>
      </c>
      <c r="T16" s="2">
        <v>3.0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>
        <f t="shared" si="1"/>
        <v>2.941176471</v>
      </c>
      <c r="AJ16" s="2">
        <v>6.0</v>
      </c>
      <c r="AK16" s="4">
        <f t="shared" si="2"/>
        <v>0.3529411765</v>
      </c>
    </row>
    <row r="17">
      <c r="A17" s="2">
        <v>11.0</v>
      </c>
      <c r="B17" s="5" t="s">
        <v>27</v>
      </c>
      <c r="C17" s="2" t="s">
        <v>22</v>
      </c>
      <c r="D17" s="2">
        <v>5.0</v>
      </c>
      <c r="E17" s="2">
        <v>4.0</v>
      </c>
      <c r="F17" s="2">
        <v>1.0</v>
      </c>
      <c r="G17" s="2">
        <v>1.0</v>
      </c>
      <c r="H17" s="2">
        <v>2.0</v>
      </c>
      <c r="I17" s="2">
        <v>5.0</v>
      </c>
      <c r="J17" s="2">
        <v>3.0</v>
      </c>
      <c r="K17" s="2">
        <v>3.0</v>
      </c>
      <c r="L17" s="2">
        <v>2.0</v>
      </c>
      <c r="M17" s="2">
        <v>3.0</v>
      </c>
      <c r="N17" s="2">
        <v>3.0</v>
      </c>
      <c r="O17" s="2">
        <v>4.0</v>
      </c>
      <c r="P17" s="2">
        <v>3.0</v>
      </c>
      <c r="Q17" s="2">
        <v>3.0</v>
      </c>
      <c r="R17" s="2">
        <v>3.0</v>
      </c>
      <c r="S17" s="2">
        <v>3.0</v>
      </c>
      <c r="T17" s="2"/>
      <c r="U17" s="2"/>
      <c r="V17" s="2"/>
      <c r="W17" s="2"/>
      <c r="X17" s="2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>
        <f t="shared" si="1"/>
        <v>3</v>
      </c>
      <c r="AJ17" s="2">
        <v>9.0</v>
      </c>
      <c r="AK17" s="4">
        <f t="shared" si="2"/>
        <v>0.5625</v>
      </c>
    </row>
    <row r="18">
      <c r="A18" s="2">
        <v>13.0</v>
      </c>
      <c r="B18" s="5" t="s">
        <v>28</v>
      </c>
      <c r="C18" s="2" t="s">
        <v>22</v>
      </c>
      <c r="D18" s="2">
        <v>4.0</v>
      </c>
      <c r="E18" s="2">
        <v>4.0</v>
      </c>
      <c r="F18" s="2">
        <v>4.0</v>
      </c>
      <c r="G18" s="2">
        <v>4.0</v>
      </c>
      <c r="H18" s="2">
        <v>4.0</v>
      </c>
      <c r="I18" s="2">
        <v>2.0</v>
      </c>
      <c r="J18" s="2">
        <v>4.0</v>
      </c>
      <c r="K18" s="2">
        <v>4.0</v>
      </c>
      <c r="L18" s="2">
        <v>4.0</v>
      </c>
      <c r="M18" s="2">
        <v>5.0</v>
      </c>
      <c r="N18" s="2">
        <v>3.0</v>
      </c>
      <c r="O18" s="2">
        <v>5.0</v>
      </c>
      <c r="P18" s="2">
        <v>5.0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>
        <f t="shared" si="1"/>
        <v>4</v>
      </c>
      <c r="AJ18" s="2">
        <v>6.0</v>
      </c>
      <c r="AK18" s="4">
        <f t="shared" si="2"/>
        <v>0.4615384615</v>
      </c>
    </row>
    <row r="19">
      <c r="A19" s="2">
        <v>14.0</v>
      </c>
      <c r="B19" s="5" t="s">
        <v>29</v>
      </c>
      <c r="C19" s="2" t="s">
        <v>22</v>
      </c>
      <c r="D19" s="2">
        <v>5.0</v>
      </c>
      <c r="E19" s="2">
        <v>5.0</v>
      </c>
      <c r="F19" s="2">
        <v>4.0</v>
      </c>
      <c r="G19" s="2">
        <v>4.0</v>
      </c>
      <c r="H19" s="2">
        <v>5.0</v>
      </c>
      <c r="I19" s="2">
        <v>5.0</v>
      </c>
      <c r="J19" s="2">
        <v>4.0</v>
      </c>
      <c r="K19" s="2">
        <v>3.0</v>
      </c>
      <c r="L19" s="2">
        <v>5.0</v>
      </c>
      <c r="M19" s="2">
        <v>5.0</v>
      </c>
      <c r="N19" s="2">
        <v>3.0</v>
      </c>
      <c r="O19" s="2">
        <v>2.0</v>
      </c>
      <c r="P19" s="2">
        <v>3.0</v>
      </c>
      <c r="Q19" s="2">
        <v>1.0</v>
      </c>
      <c r="R19" s="2">
        <v>2.0</v>
      </c>
      <c r="S19" s="2">
        <v>2.0</v>
      </c>
      <c r="T19" s="2">
        <v>2.0</v>
      </c>
      <c r="U19" s="2">
        <v>4.0</v>
      </c>
      <c r="V19" s="2"/>
      <c r="W19" s="2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>
        <f t="shared" si="1"/>
        <v>3.555555556</v>
      </c>
      <c r="AJ19" s="2">
        <v>6.0</v>
      </c>
      <c r="AK19" s="4">
        <f t="shared" si="2"/>
        <v>0.3333333333</v>
      </c>
    </row>
    <row r="20">
      <c r="A20" s="2">
        <v>20.0</v>
      </c>
      <c r="B20" s="5" t="s">
        <v>30</v>
      </c>
      <c r="C20" s="2" t="s">
        <v>22</v>
      </c>
      <c r="D20" s="2">
        <v>3.0</v>
      </c>
      <c r="E20" s="2">
        <v>3.0</v>
      </c>
      <c r="F20" s="2">
        <v>5.0</v>
      </c>
      <c r="G20" s="2">
        <v>3.0</v>
      </c>
      <c r="H20" s="2">
        <v>3.0</v>
      </c>
      <c r="I20" s="2">
        <v>3.0</v>
      </c>
      <c r="J20" s="2">
        <v>4.0</v>
      </c>
      <c r="K20" s="2">
        <v>3.0</v>
      </c>
      <c r="L20" s="2">
        <v>4.0</v>
      </c>
      <c r="M20" s="2">
        <v>4.0</v>
      </c>
      <c r="N20" s="2">
        <v>5.0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3.0</v>
      </c>
      <c r="U20" s="2">
        <v>1.0</v>
      </c>
      <c r="V20" s="2">
        <v>2.0</v>
      </c>
      <c r="W20" s="2">
        <v>0.0</v>
      </c>
      <c r="X20" s="2">
        <v>0.0</v>
      </c>
      <c r="Y20" s="2">
        <v>3.0</v>
      </c>
      <c r="Z20" s="2">
        <v>4.0</v>
      </c>
      <c r="AA20" s="2"/>
      <c r="AB20" s="2"/>
      <c r="AC20" s="2"/>
      <c r="AD20" s="4"/>
      <c r="AE20" s="4"/>
      <c r="AF20" s="4"/>
      <c r="AG20" s="4"/>
      <c r="AH20" s="4"/>
      <c r="AI20" s="4">
        <f t="shared" si="1"/>
        <v>2.52173913</v>
      </c>
      <c r="AJ20" s="2">
        <v>13.0</v>
      </c>
      <c r="AK20" s="4">
        <f t="shared" si="2"/>
        <v>0.5652173913</v>
      </c>
    </row>
    <row r="21">
      <c r="A21" s="2">
        <v>21.0</v>
      </c>
      <c r="B21" s="5" t="s">
        <v>31</v>
      </c>
      <c r="C21" s="2" t="s">
        <v>22</v>
      </c>
      <c r="D21" s="2">
        <v>3.0</v>
      </c>
      <c r="E21" s="2">
        <v>4.0</v>
      </c>
      <c r="F21" s="2">
        <v>1.0</v>
      </c>
      <c r="G21" s="2">
        <v>1.0</v>
      </c>
      <c r="H21" s="2">
        <v>5.0</v>
      </c>
      <c r="I21" s="2">
        <v>3.0</v>
      </c>
      <c r="J21" s="2">
        <v>0.0</v>
      </c>
      <c r="K21" s="2">
        <v>0.0</v>
      </c>
      <c r="L21" s="2">
        <v>1.0</v>
      </c>
      <c r="M21" s="2">
        <v>4.0</v>
      </c>
      <c r="N21" s="2">
        <v>4.0</v>
      </c>
      <c r="O21" s="2">
        <v>1.0</v>
      </c>
      <c r="P21" s="2">
        <v>2.0</v>
      </c>
      <c r="Q21" s="2">
        <v>3.0</v>
      </c>
      <c r="R21" s="2">
        <v>4.0</v>
      </c>
      <c r="S21" s="2">
        <v>3.0</v>
      </c>
      <c r="T21" s="2">
        <v>4.0</v>
      </c>
      <c r="U21" s="2">
        <v>1.0</v>
      </c>
      <c r="V21" s="2"/>
      <c r="W21" s="2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>
        <f t="shared" si="1"/>
        <v>2.444444444</v>
      </c>
      <c r="AJ21" s="2">
        <v>7.0</v>
      </c>
      <c r="AK21" s="4">
        <f t="shared" si="2"/>
        <v>0.3888888889</v>
      </c>
    </row>
    <row r="22">
      <c r="A22" s="4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2" t="s">
        <v>32</v>
      </c>
      <c r="B23" s="2" t="s">
        <v>33</v>
      </c>
      <c r="C23" s="2" t="s">
        <v>34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>
      <c r="A24" s="2" t="s">
        <v>11</v>
      </c>
      <c r="B24" s="4">
        <f>AVERAGE(AI2:AI11)</f>
        <v>3.222341377</v>
      </c>
      <c r="C24" s="4">
        <f>AVERAGE(AK2:AK11)</f>
        <v>0.412041133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>
      <c r="A25" s="2" t="s">
        <v>22</v>
      </c>
      <c r="B25" s="4">
        <f>AVERAGE(AI12:AI21)</f>
        <v>3.197655196</v>
      </c>
      <c r="C25" s="4">
        <f>AVERAGE(AK12:AK21)</f>
        <v>0.4321562109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>
      <c r="A27" s="8">
        <v>0.0</v>
      </c>
      <c r="B27" s="7" t="s">
        <v>35</v>
      </c>
      <c r="C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8">
        <v>1.0</v>
      </c>
      <c r="B28" s="7" t="s">
        <v>36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8">
        <v>2.0</v>
      </c>
      <c r="B29" s="7" t="s">
        <v>37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>
      <c r="A30" s="8">
        <v>3.0</v>
      </c>
      <c r="B30" s="7" t="s">
        <v>38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>
      <c r="A31" s="8">
        <v>4.0</v>
      </c>
      <c r="B31" s="7" t="s">
        <v>39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>
      <c r="A32" s="8">
        <v>5.0</v>
      </c>
      <c r="B32" s="7" t="s">
        <v>40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75"/>
  </cols>
  <sheetData>
    <row r="1">
      <c r="A1" s="1" t="s">
        <v>41</v>
      </c>
      <c r="B1" s="1" t="s">
        <v>2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3" t="s">
        <v>10</v>
      </c>
      <c r="B2" s="2" t="s">
        <v>11</v>
      </c>
      <c r="C2" s="2">
        <v>20.0</v>
      </c>
      <c r="D2" s="4">
        <v>2.65</v>
      </c>
      <c r="E2" s="2">
        <v>3.0</v>
      </c>
      <c r="F2" s="2">
        <v>0.0</v>
      </c>
      <c r="G2" s="4">
        <v>0.15</v>
      </c>
      <c r="H2" s="4">
        <v>0.0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12</v>
      </c>
      <c r="B3" s="2" t="s">
        <v>11</v>
      </c>
      <c r="C3" s="2">
        <v>31.0</v>
      </c>
      <c r="D3" s="4">
        <v>2.1739130434782608</v>
      </c>
      <c r="E3" s="2">
        <v>3.0</v>
      </c>
      <c r="F3" s="2">
        <v>1.0</v>
      </c>
      <c r="G3" s="4">
        <v>0.13043478260869565</v>
      </c>
      <c r="H3" s="4">
        <v>0.03225806451612903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13</v>
      </c>
      <c r="B4" s="2" t="s">
        <v>11</v>
      </c>
      <c r="C4" s="2">
        <v>20.0</v>
      </c>
      <c r="D4" s="4">
        <v>2.5</v>
      </c>
      <c r="E4" s="2">
        <v>3.0</v>
      </c>
      <c r="F4" s="2">
        <v>0.0</v>
      </c>
      <c r="G4" s="4">
        <v>0.15</v>
      </c>
      <c r="H4" s="4">
        <v>0.0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14</v>
      </c>
      <c r="B5" s="2" t="s">
        <v>11</v>
      </c>
      <c r="C5" s="2">
        <v>28.0</v>
      </c>
      <c r="D5" s="4">
        <v>2.608695652173913</v>
      </c>
      <c r="E5" s="2">
        <v>9.0</v>
      </c>
      <c r="F5" s="2">
        <v>1.0</v>
      </c>
      <c r="G5" s="4">
        <v>0.391304347826087</v>
      </c>
      <c r="H5" s="4">
        <v>0.03571428571428571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15</v>
      </c>
      <c r="B6" s="2" t="s">
        <v>11</v>
      </c>
      <c r="C6" s="2">
        <v>15.0</v>
      </c>
      <c r="D6" s="4">
        <v>3.0</v>
      </c>
      <c r="E6" s="2">
        <v>5.0</v>
      </c>
      <c r="F6" s="2">
        <v>0.0</v>
      </c>
      <c r="G6" s="4">
        <v>0.3333333333333333</v>
      </c>
      <c r="H6" s="4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16</v>
      </c>
      <c r="B7" s="2" t="s">
        <v>11</v>
      </c>
      <c r="C7" s="2">
        <v>16.0</v>
      </c>
      <c r="D7" s="4">
        <v>3.0</v>
      </c>
      <c r="E7" s="2">
        <v>6.0</v>
      </c>
      <c r="F7" s="2">
        <v>0.0</v>
      </c>
      <c r="G7" s="4">
        <v>0.375</v>
      </c>
      <c r="H7" s="4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17</v>
      </c>
      <c r="B8" s="2" t="s">
        <v>11</v>
      </c>
      <c r="C8" s="2">
        <v>9.0</v>
      </c>
      <c r="D8" s="4">
        <v>1.6666666666666667</v>
      </c>
      <c r="E8" s="2">
        <v>1.0</v>
      </c>
      <c r="F8" s="2">
        <v>0.0</v>
      </c>
      <c r="G8" s="4">
        <v>0.1111111111111111</v>
      </c>
      <c r="H8" s="4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18</v>
      </c>
      <c r="B9" s="2" t="s">
        <v>11</v>
      </c>
      <c r="C9" s="2">
        <v>15.0</v>
      </c>
      <c r="D9" s="4">
        <v>1.9333333333333333</v>
      </c>
      <c r="E9" s="2">
        <v>1.0</v>
      </c>
      <c r="F9" s="2">
        <v>0.0</v>
      </c>
      <c r="G9" s="4">
        <v>0.06666666666666667</v>
      </c>
      <c r="H9" s="4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19</v>
      </c>
      <c r="B10" s="2" t="s">
        <v>11</v>
      </c>
      <c r="C10" s="2">
        <v>24.0</v>
      </c>
      <c r="D10" s="4">
        <v>2.3043478260869565</v>
      </c>
      <c r="E10" s="2">
        <v>10.0</v>
      </c>
      <c r="F10" s="2">
        <v>0.0</v>
      </c>
      <c r="G10" s="4">
        <v>0.43478260869565216</v>
      </c>
      <c r="H10" s="4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20</v>
      </c>
      <c r="B11" s="2" t="s">
        <v>11</v>
      </c>
      <c r="C11" s="2">
        <v>19.0</v>
      </c>
      <c r="D11" s="4">
        <v>2.1052631578947367</v>
      </c>
      <c r="E11" s="2">
        <v>5.0</v>
      </c>
      <c r="F11" s="2">
        <v>0.0</v>
      </c>
      <c r="G11" s="4">
        <v>0.2631578947368421</v>
      </c>
      <c r="H11" s="4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21</v>
      </c>
      <c r="B12" s="2" t="s">
        <v>22</v>
      </c>
      <c r="C12" s="2">
        <v>15.0</v>
      </c>
      <c r="D12" s="4">
        <v>3.066666666666667</v>
      </c>
      <c r="E12" s="2">
        <v>1.0</v>
      </c>
      <c r="F12" s="2">
        <v>2.0</v>
      </c>
      <c r="G12" s="4">
        <v>0.06666666666666667</v>
      </c>
      <c r="H12" s="4">
        <v>0.13333333333333333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23</v>
      </c>
      <c r="B13" s="2" t="s">
        <v>22</v>
      </c>
      <c r="C13" s="2">
        <v>14.0</v>
      </c>
      <c r="D13" s="4">
        <v>2.7857142857142856</v>
      </c>
      <c r="E13" s="2">
        <v>4.0</v>
      </c>
      <c r="F13" s="2">
        <v>1.0</v>
      </c>
      <c r="G13" s="4">
        <v>0.2857142857142857</v>
      </c>
      <c r="H13" s="4">
        <v>0.07142857142857142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24</v>
      </c>
      <c r="B14" s="2" t="s">
        <v>22</v>
      </c>
      <c r="C14" s="2">
        <v>22.0</v>
      </c>
      <c r="D14" s="4">
        <v>2.5</v>
      </c>
      <c r="E14" s="2">
        <v>5.0</v>
      </c>
      <c r="F14" s="2">
        <v>0.0</v>
      </c>
      <c r="G14" s="4">
        <v>0.22727272727272727</v>
      </c>
      <c r="H14" s="4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25</v>
      </c>
      <c r="B15" s="2" t="s">
        <v>22</v>
      </c>
      <c r="C15" s="2">
        <v>23.0</v>
      </c>
      <c r="D15" s="4">
        <v>2.130434782608696</v>
      </c>
      <c r="E15" s="2">
        <v>2.0</v>
      </c>
      <c r="F15" s="2">
        <v>0.0</v>
      </c>
      <c r="G15" s="4">
        <v>0.08695652173913043</v>
      </c>
      <c r="H15" s="4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26</v>
      </c>
      <c r="B16" s="2" t="s">
        <v>22</v>
      </c>
      <c r="C16" s="2">
        <v>17.0</v>
      </c>
      <c r="D16" s="4">
        <v>2.176470588235294</v>
      </c>
      <c r="E16" s="2">
        <v>3.0</v>
      </c>
      <c r="F16" s="2">
        <v>0.0</v>
      </c>
      <c r="G16" s="4">
        <v>0.17647058823529413</v>
      </c>
      <c r="H16" s="4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27</v>
      </c>
      <c r="B17" s="2" t="s">
        <v>22</v>
      </c>
      <c r="C17" s="2">
        <v>21.0</v>
      </c>
      <c r="D17" s="4">
        <v>2.8095238095238093</v>
      </c>
      <c r="E17" s="2">
        <v>7.0</v>
      </c>
      <c r="F17" s="2">
        <v>0.0</v>
      </c>
      <c r="G17" s="4">
        <v>0.3333333333333333</v>
      </c>
      <c r="H17" s="4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28</v>
      </c>
      <c r="B18" s="2" t="s">
        <v>22</v>
      </c>
      <c r="C18" s="2">
        <v>13.0</v>
      </c>
      <c r="D18" s="4">
        <v>3.230769230769231</v>
      </c>
      <c r="E18" s="2">
        <v>4.0</v>
      </c>
      <c r="F18" s="2">
        <v>0.0</v>
      </c>
      <c r="G18" s="4">
        <v>0.3076923076923077</v>
      </c>
      <c r="H18" s="4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29</v>
      </c>
      <c r="B19" s="2" t="s">
        <v>22</v>
      </c>
      <c r="C19" s="2">
        <v>20.0</v>
      </c>
      <c r="D19" s="4">
        <v>2.8</v>
      </c>
      <c r="E19" s="2">
        <v>4.0</v>
      </c>
      <c r="F19" s="2">
        <v>0.0</v>
      </c>
      <c r="G19" s="4">
        <v>0.2</v>
      </c>
      <c r="H19" s="4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30</v>
      </c>
      <c r="B20" s="2" t="s">
        <v>22</v>
      </c>
      <c r="C20" s="2">
        <v>26.0</v>
      </c>
      <c r="D20" s="4">
        <v>2.217391304347826</v>
      </c>
      <c r="E20" s="2">
        <v>8.0</v>
      </c>
      <c r="F20" s="2">
        <v>2.0</v>
      </c>
      <c r="G20" s="4">
        <v>0.34782608695652173</v>
      </c>
      <c r="H20" s="4">
        <v>0.07692307692307693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31</v>
      </c>
      <c r="B21" s="2" t="s">
        <v>22</v>
      </c>
      <c r="C21" s="2">
        <v>20.0</v>
      </c>
      <c r="D21" s="4">
        <v>1.8</v>
      </c>
      <c r="E21" s="2">
        <v>6.0</v>
      </c>
      <c r="F21" s="2">
        <v>0.0</v>
      </c>
      <c r="G21" s="4">
        <v>0.3</v>
      </c>
      <c r="H21" s="4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